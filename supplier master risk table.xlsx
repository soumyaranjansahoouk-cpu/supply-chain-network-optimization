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70FED78-6330-4589-AEA2-362132D6C8A7}" xr6:coauthVersionLast="47" xr6:coauthVersionMax="47" xr10:uidLastSave="{00000000-0000-0000-0000-000000000000}"/>
  <bookViews>
    <workbookView xWindow="-120" yWindow="-120" windowWidth="29040" windowHeight="15720" xr2:uid="{7305212D-7DA4-4C78-954E-6BF05024A01B}"/>
  </bookViews>
  <sheets>
    <sheet name="supply_chain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6" i="1" l="1"/>
  <c r="N26" i="1"/>
  <c r="L26" i="1"/>
  <c r="M26" i="1" s="1"/>
  <c r="O25" i="1"/>
  <c r="N25" i="1"/>
  <c r="L25" i="1"/>
  <c r="M25" i="1" s="1"/>
  <c r="O24" i="1"/>
  <c r="N24" i="1"/>
  <c r="L24" i="1"/>
  <c r="M24" i="1" s="1"/>
  <c r="O23" i="1"/>
  <c r="N23" i="1"/>
  <c r="L23" i="1"/>
  <c r="M23" i="1" s="1"/>
  <c r="O22" i="1"/>
  <c r="N22" i="1"/>
  <c r="L22" i="1"/>
  <c r="M22" i="1" s="1"/>
  <c r="O21" i="1"/>
  <c r="N21" i="1"/>
  <c r="L21" i="1"/>
  <c r="M21" i="1" s="1"/>
  <c r="O20" i="1"/>
  <c r="N20" i="1"/>
  <c r="L20" i="1"/>
  <c r="M20" i="1" s="1"/>
  <c r="O19" i="1"/>
  <c r="N19" i="1"/>
  <c r="L19" i="1"/>
  <c r="M19" i="1" s="1"/>
  <c r="O18" i="1"/>
  <c r="N18" i="1"/>
  <c r="L18" i="1"/>
  <c r="M18" i="1" s="1"/>
  <c r="O17" i="1"/>
  <c r="N17" i="1"/>
  <c r="L17" i="1"/>
  <c r="M17" i="1" s="1"/>
  <c r="O16" i="1"/>
  <c r="N16" i="1"/>
  <c r="L16" i="1"/>
  <c r="M16" i="1" s="1"/>
  <c r="O15" i="1"/>
  <c r="N15" i="1"/>
  <c r="L15" i="1"/>
  <c r="M15" i="1" s="1"/>
  <c r="O14" i="1"/>
  <c r="N14" i="1"/>
  <c r="L14" i="1"/>
  <c r="M14" i="1" s="1"/>
  <c r="O13" i="1"/>
  <c r="N13" i="1"/>
  <c r="L13" i="1"/>
  <c r="M13" i="1" s="1"/>
  <c r="O12" i="1"/>
  <c r="N12" i="1"/>
  <c r="L12" i="1"/>
  <c r="M12" i="1" s="1"/>
  <c r="O11" i="1"/>
  <c r="N11" i="1"/>
  <c r="L11" i="1"/>
  <c r="M11" i="1" s="1"/>
  <c r="O10" i="1"/>
  <c r="N10" i="1"/>
  <c r="L10" i="1"/>
  <c r="M10" i="1" s="1"/>
  <c r="O9" i="1"/>
  <c r="N9" i="1"/>
  <c r="L9" i="1"/>
  <c r="M9" i="1" s="1"/>
  <c r="O8" i="1"/>
  <c r="N8" i="1"/>
  <c r="L8" i="1"/>
  <c r="M8" i="1" s="1"/>
  <c r="O7" i="1"/>
  <c r="N7" i="1"/>
  <c r="L7" i="1"/>
  <c r="M7" i="1" s="1"/>
  <c r="O6" i="1"/>
  <c r="N6" i="1"/>
  <c r="L6" i="1"/>
  <c r="M6" i="1" s="1"/>
  <c r="O5" i="1"/>
  <c r="N5" i="1"/>
  <c r="L5" i="1"/>
  <c r="M5" i="1" s="1"/>
  <c r="O4" i="1"/>
  <c r="N4" i="1"/>
  <c r="L4" i="1"/>
  <c r="M4" i="1" s="1"/>
  <c r="O3" i="1"/>
  <c r="N3" i="1"/>
  <c r="L3" i="1"/>
  <c r="M3" i="1" s="1"/>
  <c r="O2" i="1"/>
  <c r="N2" i="1"/>
  <c r="L2" i="1"/>
  <c r="M2" i="1" s="1"/>
</calcChain>
</file>

<file path=xl/sharedStrings.xml><?xml version="1.0" encoding="utf-8"?>
<sst xmlns="http://schemas.openxmlformats.org/spreadsheetml/2006/main" count="140" uniqueCount="77">
  <si>
    <t>Supplier_ID</t>
  </si>
  <si>
    <t>Supplier_Name</t>
  </si>
  <si>
    <t>Country</t>
  </si>
  <si>
    <t>Category</t>
  </si>
  <si>
    <t>Annual_Spend_USD</t>
  </si>
  <si>
    <t>Lead_Time_Days</t>
  </si>
  <si>
    <t>On_Time_Rate_Pct</t>
  </si>
  <si>
    <t>Defect_Rate_Pct</t>
  </si>
  <si>
    <t>Geopolitical_Risk_Score</t>
  </si>
  <si>
    <t>Financial_Risk_Score</t>
  </si>
  <si>
    <t>Single_Source_Flag</t>
  </si>
  <si>
    <t>Overall_Risk_Score</t>
  </si>
  <si>
    <t>Risk_Tier</t>
  </si>
  <si>
    <t>Risk_Score_Calc</t>
  </si>
  <si>
    <t>Spend_Rank</t>
  </si>
  <si>
    <t>S001</t>
  </si>
  <si>
    <t>Apex Textiles Ltd</t>
  </si>
  <si>
    <t>Bangladesh</t>
  </si>
  <si>
    <t>Clothing</t>
  </si>
  <si>
    <t>Yes</t>
  </si>
  <si>
    <t>S002</t>
  </si>
  <si>
    <t>SinoTech Electronics Co.</t>
  </si>
  <si>
    <t>China</t>
  </si>
  <si>
    <t>Electronics</t>
  </si>
  <si>
    <t>S003</t>
  </si>
  <si>
    <t>Delta Sports Manufacturing</t>
  </si>
  <si>
    <t>Sports</t>
  </si>
  <si>
    <t>No</t>
  </si>
  <si>
    <t>S004</t>
  </si>
  <si>
    <t>Precision Garments GmbH</t>
  </si>
  <si>
    <t>Germany</t>
  </si>
  <si>
    <t>S005</t>
  </si>
  <si>
    <t>Viet Nam Apparel Corp</t>
  </si>
  <si>
    <t>Vietnam</t>
  </si>
  <si>
    <t>S006</t>
  </si>
  <si>
    <t>Horizon Electronics Inc.</t>
  </si>
  <si>
    <t>USA</t>
  </si>
  <si>
    <t>S007</t>
  </si>
  <si>
    <t>Guangzhou Sports Gear Ltd</t>
  </si>
  <si>
    <t>S008</t>
  </si>
  <si>
    <t>Mumbai Fabrics Pvt Ltd</t>
  </si>
  <si>
    <t>India</t>
  </si>
  <si>
    <t>S009</t>
  </si>
  <si>
    <t>Atlantic Sportswear LLC</t>
  </si>
  <si>
    <t>S010</t>
  </si>
  <si>
    <t>Shenzhen Components Co.</t>
  </si>
  <si>
    <t>S011</t>
  </si>
  <si>
    <t>Rio Sporting Goods SA</t>
  </si>
  <si>
    <t>Brazil</t>
  </si>
  <si>
    <t>S012</t>
  </si>
  <si>
    <t>Bayern Tech Solutions AG</t>
  </si>
  <si>
    <t>S013</t>
  </si>
  <si>
    <t>Dhaka Weaving Mills</t>
  </si>
  <si>
    <t>S014</t>
  </si>
  <si>
    <t>Blue Ridge Apparel Co.</t>
  </si>
  <si>
    <t>S015</t>
  </si>
  <si>
    <t>Hanoi Sports Equipment</t>
  </si>
  <si>
    <t>S016</t>
  </si>
  <si>
    <t>Beijing Global Supply Co.</t>
  </si>
  <si>
    <t>S017</t>
  </si>
  <si>
    <t>Sao Paulo Textiles Ltda</t>
  </si>
  <si>
    <t>S018</t>
  </si>
  <si>
    <t>Chennai Electronics Pvt</t>
  </si>
  <si>
    <t>S019</t>
  </si>
  <si>
    <t>Nordic Sports Design AB</t>
  </si>
  <si>
    <t>S020</t>
  </si>
  <si>
    <t>Ho Chi Minh Garments Co.</t>
  </si>
  <si>
    <t>S021</t>
  </si>
  <si>
    <t>Midwest Components LLC</t>
  </si>
  <si>
    <t>S022</t>
  </si>
  <si>
    <t>Chongqing Apparel Group</t>
  </si>
  <si>
    <t>S023</t>
  </si>
  <si>
    <t>Kolkata Sports Industries</t>
  </si>
  <si>
    <t>S024</t>
  </si>
  <si>
    <t>Frankfurt Precision GmbH</t>
  </si>
  <si>
    <t>S025</t>
  </si>
  <si>
    <t>Sylhet Knitwear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</si>
</sst>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0.0%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color rgb="FF996600"/>
      <name val="Arial"/>
      <family val="2"/>
    </font>
    <font>
      <b/>
      <sz val="10"/>
      <color rgb="FFCC0000"/>
      <name val="Arial"/>
      <family val="2"/>
    </font>
    <font>
      <b/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003366"/>
        <bgColor rgb="FF333399"/>
      </patternFill>
    </fill>
    <fill>
      <patternFill patternType="solid">
        <fgColor rgb="FFFFFFFF"/>
        <bgColor rgb="FFF8F9FA"/>
      </patternFill>
    </fill>
    <fill>
      <patternFill patternType="solid">
        <fgColor rgb="FFF0F0F0"/>
        <bgColor rgb="FFEAF4EA"/>
      </patternFill>
    </fill>
    <fill>
      <patternFill patternType="solid">
        <fgColor rgb="FFFFF2CC"/>
        <bgColor rgb="FFFFF8E1"/>
      </patternFill>
    </fill>
    <fill>
      <patternFill patternType="solid">
        <fgColor rgb="FFFFCCCC"/>
        <bgColor rgb="FFFFE0E0"/>
      </patternFill>
    </fill>
    <fill>
      <patternFill patternType="solid">
        <fgColor rgb="FFF8F9FA"/>
        <bgColor rgb="FFFFFFFF"/>
      </patternFill>
    </fill>
    <fill>
      <patternFill patternType="solid">
        <fgColor rgb="FFFFE0E0"/>
        <bgColor rgb="FFFFF0E6"/>
      </patternFill>
    </fill>
    <fill>
      <patternFill patternType="solid">
        <fgColor rgb="FFEAF4EA"/>
        <bgColor rgb="FFF0F0F0"/>
      </patternFill>
    </fill>
    <fill>
      <patternFill patternType="solid">
        <fgColor rgb="FFFFF8E1"/>
        <bgColor rgb="FFFFF0E6"/>
      </patternFill>
    </fill>
    <fill>
      <patternFill patternType="solid">
        <fgColor rgb="FFE8F4FD"/>
        <bgColor rgb="FFEAF4EA"/>
      </patternFill>
    </fill>
    <fill>
      <patternFill patternType="solid">
        <fgColor rgb="FFF3E8FF"/>
        <bgColor rgb="FFF0F0F0"/>
      </patternFill>
    </fill>
    <fill>
      <patternFill patternType="solid">
        <fgColor rgb="FFFFF0E6"/>
        <bgColor rgb="FFFFF8E1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66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164" fontId="2" fillId="7" borderId="1" xfId="0" applyNumberFormat="1" applyFont="1" applyFill="1" applyBorder="1" applyAlignment="1">
      <alignment horizontal="center" vertical="center"/>
    </xf>
    <xf numFmtId="165" fontId="2" fillId="7" borderId="1" xfId="0" applyNumberFormat="1" applyFont="1" applyFill="1" applyBorder="1" applyAlignment="1">
      <alignment horizontal="center" vertical="center"/>
    </xf>
    <xf numFmtId="166" fontId="5" fillId="7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640D5-3630-4F0B-BE20-5307286BCA05}">
  <dimension ref="A1:R26"/>
  <sheetViews>
    <sheetView tabSelected="1" workbookViewId="0">
      <selection activeCell="P7" sqref="P7"/>
    </sheetView>
  </sheetViews>
  <sheetFormatPr defaultRowHeight="15" x14ac:dyDescent="0.25"/>
  <cols>
    <col min="2" max="2" width="24.28515625" customWidth="1"/>
    <col min="5" max="5" width="18.85546875" customWidth="1"/>
    <col min="14" max="14" width="17" customWidth="1"/>
    <col min="18" max="18" width="11.7109375" bestFit="1" customWidth="1"/>
  </cols>
  <sheetData>
    <row r="1" spans="1:15" ht="38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</row>
    <row r="2" spans="1:15" x14ac:dyDescent="0.25">
      <c r="A2" s="4" t="s">
        <v>15</v>
      </c>
      <c r="B2" s="4" t="s">
        <v>16</v>
      </c>
      <c r="C2" s="5" t="s">
        <v>17</v>
      </c>
      <c r="D2" s="4" t="s">
        <v>18</v>
      </c>
      <c r="E2" s="6">
        <v>4200000</v>
      </c>
      <c r="F2" s="4">
        <v>21</v>
      </c>
      <c r="G2" s="7">
        <v>0.81</v>
      </c>
      <c r="H2" s="7">
        <v>1.7999999999999999E-2</v>
      </c>
      <c r="I2" s="8">
        <v>4</v>
      </c>
      <c r="J2" s="4">
        <v>3</v>
      </c>
      <c r="K2" s="9" t="s">
        <v>19</v>
      </c>
      <c r="L2" s="10">
        <f t="shared" ref="L2:L26" si="0">ROUND((I2*0.4+J2*0.3+(IF(K2="Yes",3,1))*0.3),1)</f>
        <v>3.4</v>
      </c>
      <c r="M2" s="11" t="str">
        <f t="shared" ref="M2:M26" si="1">IF(L2&gt;=7,"High",IF(L2&gt;=4,"Medium","Low"))</f>
        <v>Low</v>
      </c>
      <c r="N2">
        <f>AVERAGE(I2,J2)</f>
        <v>3.5</v>
      </c>
      <c r="O2">
        <f>RANK(E2,$E$2:$E$26,1)</f>
        <v>6</v>
      </c>
    </row>
    <row r="3" spans="1:15" x14ac:dyDescent="0.25">
      <c r="A3" s="12" t="s">
        <v>20</v>
      </c>
      <c r="B3" s="12" t="s">
        <v>21</v>
      </c>
      <c r="C3" s="13" t="s">
        <v>22</v>
      </c>
      <c r="D3" s="12" t="s">
        <v>23</v>
      </c>
      <c r="E3" s="14">
        <v>38500000</v>
      </c>
      <c r="F3" s="12">
        <v>18</v>
      </c>
      <c r="G3" s="15">
        <v>0.74</v>
      </c>
      <c r="H3" s="15">
        <v>3.1E-2</v>
      </c>
      <c r="I3" s="9">
        <v>8</v>
      </c>
      <c r="J3" s="8">
        <v>5</v>
      </c>
      <c r="K3" s="9" t="s">
        <v>19</v>
      </c>
      <c r="L3" s="16">
        <f t="shared" si="0"/>
        <v>5.6</v>
      </c>
      <c r="M3" s="17" t="str">
        <f t="shared" si="1"/>
        <v>Medium</v>
      </c>
      <c r="N3">
        <f t="shared" ref="N3:N26" si="2">AVERAGE(I3,J3)</f>
        <v>6.5</v>
      </c>
      <c r="O3">
        <f t="shared" ref="O3:O26" si="3">RANK(E3,$E$2:$E$26,1)</f>
        <v>24</v>
      </c>
    </row>
    <row r="4" spans="1:15" x14ac:dyDescent="0.25">
      <c r="A4" s="4" t="s">
        <v>24</v>
      </c>
      <c r="B4" s="4" t="s">
        <v>25</v>
      </c>
      <c r="C4" s="13" t="s">
        <v>22</v>
      </c>
      <c r="D4" s="4" t="s">
        <v>26</v>
      </c>
      <c r="E4" s="6">
        <v>12800000</v>
      </c>
      <c r="F4" s="4">
        <v>22</v>
      </c>
      <c r="G4" s="7">
        <v>0.69</v>
      </c>
      <c r="H4" s="7">
        <v>4.2000000000000003E-2</v>
      </c>
      <c r="I4" s="9">
        <v>8</v>
      </c>
      <c r="J4" s="8">
        <v>4</v>
      </c>
      <c r="K4" s="4" t="s">
        <v>27</v>
      </c>
      <c r="L4" s="10">
        <f t="shared" si="0"/>
        <v>4.7</v>
      </c>
      <c r="M4" s="11" t="str">
        <f t="shared" si="1"/>
        <v>Medium</v>
      </c>
      <c r="N4">
        <f t="shared" si="2"/>
        <v>6</v>
      </c>
      <c r="O4">
        <f t="shared" si="3"/>
        <v>17</v>
      </c>
    </row>
    <row r="5" spans="1:15" x14ac:dyDescent="0.25">
      <c r="A5" s="12" t="s">
        <v>28</v>
      </c>
      <c r="B5" s="12" t="s">
        <v>29</v>
      </c>
      <c r="C5" s="18" t="s">
        <v>30</v>
      </c>
      <c r="D5" s="12" t="s">
        <v>18</v>
      </c>
      <c r="E5" s="14">
        <v>9100000</v>
      </c>
      <c r="F5" s="12">
        <v>12</v>
      </c>
      <c r="G5" s="15">
        <v>0.95</v>
      </c>
      <c r="H5" s="15">
        <v>4.0000000000000001E-3</v>
      </c>
      <c r="I5" s="12">
        <v>2</v>
      </c>
      <c r="J5" s="12">
        <v>2</v>
      </c>
      <c r="K5" s="12" t="s">
        <v>27</v>
      </c>
      <c r="L5" s="16">
        <f t="shared" si="0"/>
        <v>1.7</v>
      </c>
      <c r="M5" s="17" t="str">
        <f t="shared" si="1"/>
        <v>Low</v>
      </c>
      <c r="N5">
        <f t="shared" si="2"/>
        <v>2</v>
      </c>
      <c r="O5">
        <f t="shared" si="3"/>
        <v>14</v>
      </c>
    </row>
    <row r="6" spans="1:15" x14ac:dyDescent="0.25">
      <c r="A6" s="4" t="s">
        <v>31</v>
      </c>
      <c r="B6" s="4" t="s">
        <v>32</v>
      </c>
      <c r="C6" s="19" t="s">
        <v>33</v>
      </c>
      <c r="D6" s="4" t="s">
        <v>18</v>
      </c>
      <c r="E6" s="6">
        <v>6700000</v>
      </c>
      <c r="F6" s="4">
        <v>28</v>
      </c>
      <c r="G6" s="7">
        <v>0.77</v>
      </c>
      <c r="H6" s="7">
        <v>2.1999999999999999E-2</v>
      </c>
      <c r="I6" s="8">
        <v>5</v>
      </c>
      <c r="J6" s="8">
        <v>4</v>
      </c>
      <c r="K6" s="4" t="s">
        <v>27</v>
      </c>
      <c r="L6" s="10">
        <f t="shared" si="0"/>
        <v>3.5</v>
      </c>
      <c r="M6" s="11" t="str">
        <f t="shared" si="1"/>
        <v>Low</v>
      </c>
      <c r="N6">
        <f t="shared" si="2"/>
        <v>4.5</v>
      </c>
      <c r="O6">
        <f t="shared" si="3"/>
        <v>10</v>
      </c>
    </row>
    <row r="7" spans="1:15" x14ac:dyDescent="0.25">
      <c r="A7" s="12" t="s">
        <v>34</v>
      </c>
      <c r="B7" s="12" t="s">
        <v>35</v>
      </c>
      <c r="C7" s="20" t="s">
        <v>36</v>
      </c>
      <c r="D7" s="12" t="s">
        <v>23</v>
      </c>
      <c r="E7" s="14">
        <v>22400000</v>
      </c>
      <c r="F7" s="12">
        <v>9</v>
      </c>
      <c r="G7" s="15">
        <v>0.97</v>
      </c>
      <c r="H7" s="15">
        <v>3.0000000000000001E-3</v>
      </c>
      <c r="I7" s="12">
        <v>1</v>
      </c>
      <c r="J7" s="12">
        <v>2</v>
      </c>
      <c r="K7" s="12" t="s">
        <v>27</v>
      </c>
      <c r="L7" s="16">
        <f t="shared" si="0"/>
        <v>1.3</v>
      </c>
      <c r="M7" s="17" t="str">
        <f t="shared" si="1"/>
        <v>Low</v>
      </c>
      <c r="N7">
        <f t="shared" si="2"/>
        <v>1.5</v>
      </c>
      <c r="O7">
        <f t="shared" si="3"/>
        <v>21</v>
      </c>
    </row>
    <row r="8" spans="1:15" x14ac:dyDescent="0.25">
      <c r="A8" s="4" t="s">
        <v>37</v>
      </c>
      <c r="B8" s="4" t="s">
        <v>38</v>
      </c>
      <c r="C8" s="13" t="s">
        <v>22</v>
      </c>
      <c r="D8" s="4" t="s">
        <v>26</v>
      </c>
      <c r="E8" s="6">
        <v>17600000</v>
      </c>
      <c r="F8" s="4">
        <v>19</v>
      </c>
      <c r="G8" s="7">
        <v>0.71</v>
      </c>
      <c r="H8" s="7">
        <v>3.7999999999999999E-2</v>
      </c>
      <c r="I8" s="9">
        <v>8</v>
      </c>
      <c r="J8" s="8">
        <v>6</v>
      </c>
      <c r="K8" s="9" t="s">
        <v>19</v>
      </c>
      <c r="L8" s="10">
        <f t="shared" si="0"/>
        <v>5.9</v>
      </c>
      <c r="M8" s="11" t="str">
        <f t="shared" si="1"/>
        <v>Medium</v>
      </c>
      <c r="N8">
        <f t="shared" si="2"/>
        <v>7</v>
      </c>
      <c r="O8">
        <f t="shared" si="3"/>
        <v>19</v>
      </c>
    </row>
    <row r="9" spans="1:15" x14ac:dyDescent="0.25">
      <c r="A9" s="12" t="s">
        <v>39</v>
      </c>
      <c r="B9" s="12" t="s">
        <v>40</v>
      </c>
      <c r="C9" s="21" t="s">
        <v>41</v>
      </c>
      <c r="D9" s="12" t="s">
        <v>18</v>
      </c>
      <c r="E9" s="14">
        <v>3800000</v>
      </c>
      <c r="F9" s="12">
        <v>31</v>
      </c>
      <c r="G9" s="15">
        <v>0.72</v>
      </c>
      <c r="H9" s="15">
        <v>2.8000000000000001E-2</v>
      </c>
      <c r="I9" s="8">
        <v>4</v>
      </c>
      <c r="J9" s="8">
        <v>5</v>
      </c>
      <c r="K9" s="12" t="s">
        <v>27</v>
      </c>
      <c r="L9" s="16">
        <f t="shared" si="0"/>
        <v>3.4</v>
      </c>
      <c r="M9" s="17" t="str">
        <f t="shared" si="1"/>
        <v>Low</v>
      </c>
      <c r="N9">
        <f t="shared" si="2"/>
        <v>4.5</v>
      </c>
      <c r="O9">
        <f t="shared" si="3"/>
        <v>5</v>
      </c>
    </row>
    <row r="10" spans="1:15" x14ac:dyDescent="0.25">
      <c r="A10" s="4" t="s">
        <v>42</v>
      </c>
      <c r="B10" s="4" t="s">
        <v>43</v>
      </c>
      <c r="C10" s="20" t="s">
        <v>36</v>
      </c>
      <c r="D10" s="4" t="s">
        <v>26</v>
      </c>
      <c r="E10" s="6">
        <v>8900000</v>
      </c>
      <c r="F10" s="4">
        <v>11</v>
      </c>
      <c r="G10" s="7">
        <v>0.93</v>
      </c>
      <c r="H10" s="7">
        <v>6.0000000000000001E-3</v>
      </c>
      <c r="I10" s="4">
        <v>1</v>
      </c>
      <c r="J10" s="4">
        <v>2</v>
      </c>
      <c r="K10" s="4" t="s">
        <v>27</v>
      </c>
      <c r="L10" s="10">
        <f t="shared" si="0"/>
        <v>1.3</v>
      </c>
      <c r="M10" s="11" t="str">
        <f t="shared" si="1"/>
        <v>Low</v>
      </c>
      <c r="N10">
        <f t="shared" si="2"/>
        <v>1.5</v>
      </c>
      <c r="O10">
        <f t="shared" si="3"/>
        <v>13</v>
      </c>
    </row>
    <row r="11" spans="1:15" x14ac:dyDescent="0.25">
      <c r="A11" s="12" t="s">
        <v>44</v>
      </c>
      <c r="B11" s="12" t="s">
        <v>45</v>
      </c>
      <c r="C11" s="13" t="s">
        <v>22</v>
      </c>
      <c r="D11" s="12" t="s">
        <v>23</v>
      </c>
      <c r="E11" s="14">
        <v>44800000</v>
      </c>
      <c r="F11" s="12">
        <v>16</v>
      </c>
      <c r="G11" s="15">
        <v>0.68</v>
      </c>
      <c r="H11" s="15">
        <v>4.4999999999999998E-2</v>
      </c>
      <c r="I11" s="9">
        <v>9</v>
      </c>
      <c r="J11" s="8">
        <v>6</v>
      </c>
      <c r="K11" s="9" t="s">
        <v>19</v>
      </c>
      <c r="L11" s="16">
        <f t="shared" si="0"/>
        <v>6.3</v>
      </c>
      <c r="M11" s="17" t="str">
        <f t="shared" si="1"/>
        <v>Medium</v>
      </c>
      <c r="N11">
        <f t="shared" si="2"/>
        <v>7.5</v>
      </c>
      <c r="O11">
        <f t="shared" si="3"/>
        <v>25</v>
      </c>
    </row>
    <row r="12" spans="1:15" x14ac:dyDescent="0.25">
      <c r="A12" s="4" t="s">
        <v>46</v>
      </c>
      <c r="B12" s="4" t="s">
        <v>47</v>
      </c>
      <c r="C12" s="22" t="s">
        <v>48</v>
      </c>
      <c r="D12" s="4" t="s">
        <v>26</v>
      </c>
      <c r="E12" s="6">
        <v>5200000</v>
      </c>
      <c r="F12" s="4">
        <v>38</v>
      </c>
      <c r="G12" s="7">
        <v>0.63</v>
      </c>
      <c r="H12" s="7">
        <v>3.9E-2</v>
      </c>
      <c r="I12" s="8">
        <v>6</v>
      </c>
      <c r="J12" s="9">
        <v>7</v>
      </c>
      <c r="K12" s="9" t="s">
        <v>19</v>
      </c>
      <c r="L12" s="10">
        <f t="shared" si="0"/>
        <v>5.4</v>
      </c>
      <c r="M12" s="11" t="str">
        <f t="shared" si="1"/>
        <v>Medium</v>
      </c>
      <c r="N12">
        <f t="shared" si="2"/>
        <v>6.5</v>
      </c>
      <c r="O12">
        <f t="shared" si="3"/>
        <v>8</v>
      </c>
    </row>
    <row r="13" spans="1:15" x14ac:dyDescent="0.25">
      <c r="A13" s="12" t="s">
        <v>49</v>
      </c>
      <c r="B13" s="12" t="s">
        <v>50</v>
      </c>
      <c r="C13" s="18" t="s">
        <v>30</v>
      </c>
      <c r="D13" s="12" t="s">
        <v>23</v>
      </c>
      <c r="E13" s="14">
        <v>16300000</v>
      </c>
      <c r="F13" s="12">
        <v>10</v>
      </c>
      <c r="G13" s="15">
        <v>0.96</v>
      </c>
      <c r="H13" s="15">
        <v>2E-3</v>
      </c>
      <c r="I13" s="12">
        <v>2</v>
      </c>
      <c r="J13" s="12">
        <v>1</v>
      </c>
      <c r="K13" s="12" t="s">
        <v>27</v>
      </c>
      <c r="L13" s="16">
        <f t="shared" si="0"/>
        <v>1.4</v>
      </c>
      <c r="M13" s="17" t="str">
        <f t="shared" si="1"/>
        <v>Low</v>
      </c>
      <c r="N13">
        <f t="shared" si="2"/>
        <v>1.5</v>
      </c>
      <c r="O13">
        <f t="shared" si="3"/>
        <v>18</v>
      </c>
    </row>
    <row r="14" spans="1:15" x14ac:dyDescent="0.25">
      <c r="A14" s="4" t="s">
        <v>51</v>
      </c>
      <c r="B14" s="4" t="s">
        <v>52</v>
      </c>
      <c r="C14" s="5" t="s">
        <v>17</v>
      </c>
      <c r="D14" s="4" t="s">
        <v>18</v>
      </c>
      <c r="E14" s="6">
        <v>2900000</v>
      </c>
      <c r="F14" s="4">
        <v>35</v>
      </c>
      <c r="G14" s="7">
        <v>0.61</v>
      </c>
      <c r="H14" s="7">
        <v>4.1000000000000002E-2</v>
      </c>
      <c r="I14" s="8">
        <v>5</v>
      </c>
      <c r="J14" s="8">
        <v>6</v>
      </c>
      <c r="K14" s="9" t="s">
        <v>19</v>
      </c>
      <c r="L14" s="10">
        <f t="shared" si="0"/>
        <v>4.7</v>
      </c>
      <c r="M14" s="11" t="str">
        <f t="shared" si="1"/>
        <v>Medium</v>
      </c>
      <c r="N14">
        <f t="shared" si="2"/>
        <v>5.5</v>
      </c>
      <c r="O14">
        <f t="shared" si="3"/>
        <v>3</v>
      </c>
    </row>
    <row r="15" spans="1:15" x14ac:dyDescent="0.25">
      <c r="A15" s="12" t="s">
        <v>53</v>
      </c>
      <c r="B15" s="12" t="s">
        <v>54</v>
      </c>
      <c r="C15" s="20" t="s">
        <v>36</v>
      </c>
      <c r="D15" s="12" t="s">
        <v>18</v>
      </c>
      <c r="E15" s="14">
        <v>11500000</v>
      </c>
      <c r="F15" s="12">
        <v>8</v>
      </c>
      <c r="G15" s="15">
        <v>0.94</v>
      </c>
      <c r="H15" s="15">
        <v>5.0000000000000001E-3</v>
      </c>
      <c r="I15" s="12">
        <v>1</v>
      </c>
      <c r="J15" s="12">
        <v>2</v>
      </c>
      <c r="K15" s="12" t="s">
        <v>27</v>
      </c>
      <c r="L15" s="16">
        <f t="shared" si="0"/>
        <v>1.3</v>
      </c>
      <c r="M15" s="17" t="str">
        <f t="shared" si="1"/>
        <v>Low</v>
      </c>
      <c r="N15">
        <f t="shared" si="2"/>
        <v>1.5</v>
      </c>
      <c r="O15">
        <f t="shared" si="3"/>
        <v>16</v>
      </c>
    </row>
    <row r="16" spans="1:15" x14ac:dyDescent="0.25">
      <c r="A16" s="4" t="s">
        <v>55</v>
      </c>
      <c r="B16" s="4" t="s">
        <v>56</v>
      </c>
      <c r="C16" s="19" t="s">
        <v>33</v>
      </c>
      <c r="D16" s="4" t="s">
        <v>26</v>
      </c>
      <c r="E16" s="6">
        <v>4600000</v>
      </c>
      <c r="F16" s="4">
        <v>32</v>
      </c>
      <c r="G16" s="7">
        <v>0.73</v>
      </c>
      <c r="H16" s="7">
        <v>2.7E-2</v>
      </c>
      <c r="I16" s="8">
        <v>5</v>
      </c>
      <c r="J16" s="8">
        <v>5</v>
      </c>
      <c r="K16" s="4" t="s">
        <v>27</v>
      </c>
      <c r="L16" s="10">
        <f t="shared" si="0"/>
        <v>3.8</v>
      </c>
      <c r="M16" s="11" t="str">
        <f t="shared" si="1"/>
        <v>Low</v>
      </c>
      <c r="N16">
        <f t="shared" si="2"/>
        <v>5</v>
      </c>
      <c r="O16">
        <f t="shared" si="3"/>
        <v>7</v>
      </c>
    </row>
    <row r="17" spans="1:18" x14ac:dyDescent="0.25">
      <c r="A17" s="12" t="s">
        <v>57</v>
      </c>
      <c r="B17" s="12" t="s">
        <v>58</v>
      </c>
      <c r="C17" s="13" t="s">
        <v>22</v>
      </c>
      <c r="D17" s="12" t="s">
        <v>23</v>
      </c>
      <c r="E17" s="14">
        <v>31200000</v>
      </c>
      <c r="F17" s="12">
        <v>20</v>
      </c>
      <c r="G17" s="15">
        <v>0.66</v>
      </c>
      <c r="H17" s="15">
        <v>4.3999999999999997E-2</v>
      </c>
      <c r="I17" s="9">
        <v>9</v>
      </c>
      <c r="J17" s="8">
        <v>5</v>
      </c>
      <c r="K17" s="9" t="s">
        <v>19</v>
      </c>
      <c r="L17" s="16">
        <f t="shared" si="0"/>
        <v>6</v>
      </c>
      <c r="M17" s="17" t="str">
        <f t="shared" si="1"/>
        <v>Medium</v>
      </c>
      <c r="N17">
        <f t="shared" si="2"/>
        <v>7</v>
      </c>
      <c r="O17">
        <f t="shared" si="3"/>
        <v>23</v>
      </c>
    </row>
    <row r="18" spans="1:18" x14ac:dyDescent="0.25">
      <c r="A18" s="4" t="s">
        <v>59</v>
      </c>
      <c r="B18" s="4" t="s">
        <v>60</v>
      </c>
      <c r="C18" s="22" t="s">
        <v>48</v>
      </c>
      <c r="D18" s="4" t="s">
        <v>18</v>
      </c>
      <c r="E18" s="6">
        <v>3400000</v>
      </c>
      <c r="F18" s="4">
        <v>42</v>
      </c>
      <c r="G18" s="7">
        <v>0.57999999999999996</v>
      </c>
      <c r="H18" s="7">
        <v>4.2999999999999997E-2</v>
      </c>
      <c r="I18" s="8">
        <v>6</v>
      </c>
      <c r="J18" s="9">
        <v>8</v>
      </c>
      <c r="K18" s="9" t="s">
        <v>19</v>
      </c>
      <c r="L18" s="10">
        <f t="shared" si="0"/>
        <v>5.7</v>
      </c>
      <c r="M18" s="11" t="str">
        <f t="shared" si="1"/>
        <v>Medium</v>
      </c>
      <c r="N18">
        <f t="shared" si="2"/>
        <v>7</v>
      </c>
      <c r="O18">
        <f t="shared" si="3"/>
        <v>4</v>
      </c>
    </row>
    <row r="19" spans="1:18" x14ac:dyDescent="0.25">
      <c r="A19" s="12" t="s">
        <v>61</v>
      </c>
      <c r="B19" s="12" t="s">
        <v>62</v>
      </c>
      <c r="C19" s="21" t="s">
        <v>41</v>
      </c>
      <c r="D19" s="12" t="s">
        <v>23</v>
      </c>
      <c r="E19" s="14">
        <v>8700000</v>
      </c>
      <c r="F19" s="12">
        <v>25</v>
      </c>
      <c r="G19" s="15">
        <v>0.79</v>
      </c>
      <c r="H19" s="15">
        <v>1.9E-2</v>
      </c>
      <c r="I19" s="8">
        <v>4</v>
      </c>
      <c r="J19" s="8">
        <v>4</v>
      </c>
      <c r="K19" s="12" t="s">
        <v>27</v>
      </c>
      <c r="L19" s="16">
        <f t="shared" si="0"/>
        <v>3.1</v>
      </c>
      <c r="M19" s="17" t="str">
        <f t="shared" si="1"/>
        <v>Low</v>
      </c>
      <c r="N19">
        <f t="shared" si="2"/>
        <v>4</v>
      </c>
      <c r="O19">
        <f t="shared" si="3"/>
        <v>12</v>
      </c>
    </row>
    <row r="20" spans="1:18" x14ac:dyDescent="0.25">
      <c r="A20" s="4" t="s">
        <v>63</v>
      </c>
      <c r="B20" s="4" t="s">
        <v>64</v>
      </c>
      <c r="C20" s="18" t="s">
        <v>30</v>
      </c>
      <c r="D20" s="4" t="s">
        <v>26</v>
      </c>
      <c r="E20" s="6">
        <v>7800000</v>
      </c>
      <c r="F20" s="4">
        <v>13</v>
      </c>
      <c r="G20" s="7">
        <v>0.92</v>
      </c>
      <c r="H20" s="7">
        <v>7.0000000000000001E-3</v>
      </c>
      <c r="I20" s="4">
        <v>2</v>
      </c>
      <c r="J20" s="4">
        <v>2</v>
      </c>
      <c r="K20" s="4" t="s">
        <v>27</v>
      </c>
      <c r="L20" s="10">
        <f t="shared" si="0"/>
        <v>1.7</v>
      </c>
      <c r="M20" s="11" t="str">
        <f t="shared" si="1"/>
        <v>Low</v>
      </c>
      <c r="N20">
        <f t="shared" si="2"/>
        <v>2</v>
      </c>
      <c r="O20">
        <f t="shared" si="3"/>
        <v>11</v>
      </c>
    </row>
    <row r="21" spans="1:18" x14ac:dyDescent="0.25">
      <c r="A21" s="12" t="s">
        <v>65</v>
      </c>
      <c r="B21" s="12" t="s">
        <v>66</v>
      </c>
      <c r="C21" s="19" t="s">
        <v>33</v>
      </c>
      <c r="D21" s="12" t="s">
        <v>18</v>
      </c>
      <c r="E21" s="14">
        <v>5500000</v>
      </c>
      <c r="F21" s="12">
        <v>29</v>
      </c>
      <c r="G21" s="15">
        <v>0.76</v>
      </c>
      <c r="H21" s="15">
        <v>2.4E-2</v>
      </c>
      <c r="I21" s="8">
        <v>5</v>
      </c>
      <c r="J21" s="8">
        <v>4</v>
      </c>
      <c r="K21" s="9" t="s">
        <v>19</v>
      </c>
      <c r="L21" s="16">
        <f t="shared" si="0"/>
        <v>4.0999999999999996</v>
      </c>
      <c r="M21" s="17" t="str">
        <f t="shared" si="1"/>
        <v>Medium</v>
      </c>
      <c r="N21">
        <f t="shared" si="2"/>
        <v>4.5</v>
      </c>
      <c r="O21">
        <f t="shared" si="3"/>
        <v>9</v>
      </c>
    </row>
    <row r="22" spans="1:18" x14ac:dyDescent="0.25">
      <c r="A22" s="4" t="s">
        <v>67</v>
      </c>
      <c r="B22" s="4" t="s">
        <v>68</v>
      </c>
      <c r="C22" s="20" t="s">
        <v>36</v>
      </c>
      <c r="D22" s="4" t="s">
        <v>23</v>
      </c>
      <c r="E22" s="6">
        <v>18900000</v>
      </c>
      <c r="F22" s="4">
        <v>7</v>
      </c>
      <c r="G22" s="7">
        <v>0.97</v>
      </c>
      <c r="H22" s="7">
        <v>2E-3</v>
      </c>
      <c r="I22" s="4">
        <v>1</v>
      </c>
      <c r="J22" s="4">
        <v>1</v>
      </c>
      <c r="K22" s="4" t="s">
        <v>27</v>
      </c>
      <c r="L22" s="10">
        <f t="shared" si="0"/>
        <v>1</v>
      </c>
      <c r="M22" s="11" t="str">
        <f t="shared" si="1"/>
        <v>Low</v>
      </c>
      <c r="N22">
        <f t="shared" si="2"/>
        <v>1</v>
      </c>
      <c r="O22">
        <f t="shared" si="3"/>
        <v>20</v>
      </c>
    </row>
    <row r="23" spans="1:18" x14ac:dyDescent="0.25">
      <c r="A23" s="12" t="s">
        <v>69</v>
      </c>
      <c r="B23" s="12" t="s">
        <v>70</v>
      </c>
      <c r="C23" s="13" t="s">
        <v>22</v>
      </c>
      <c r="D23" s="12" t="s">
        <v>18</v>
      </c>
      <c r="E23" s="14">
        <v>9300000</v>
      </c>
      <c r="F23" s="12">
        <v>24</v>
      </c>
      <c r="G23" s="15">
        <v>0.7</v>
      </c>
      <c r="H23" s="15">
        <v>3.5000000000000003E-2</v>
      </c>
      <c r="I23" s="9">
        <v>8</v>
      </c>
      <c r="J23" s="8">
        <v>5</v>
      </c>
      <c r="K23" s="12" t="s">
        <v>27</v>
      </c>
      <c r="L23" s="16">
        <f t="shared" si="0"/>
        <v>5</v>
      </c>
      <c r="M23" s="17" t="str">
        <f t="shared" si="1"/>
        <v>Medium</v>
      </c>
      <c r="N23">
        <f t="shared" si="2"/>
        <v>6.5</v>
      </c>
      <c r="O23">
        <f t="shared" si="3"/>
        <v>15</v>
      </c>
    </row>
    <row r="24" spans="1:18" x14ac:dyDescent="0.25">
      <c r="A24" s="4" t="s">
        <v>71</v>
      </c>
      <c r="B24" s="4" t="s">
        <v>72</v>
      </c>
      <c r="C24" s="21" t="s">
        <v>41</v>
      </c>
      <c r="D24" s="4" t="s">
        <v>26</v>
      </c>
      <c r="E24" s="6">
        <v>2800000</v>
      </c>
      <c r="F24" s="4">
        <v>40</v>
      </c>
      <c r="G24" s="7">
        <v>0.6</v>
      </c>
      <c r="H24" s="7">
        <v>0.04</v>
      </c>
      <c r="I24" s="8">
        <v>4</v>
      </c>
      <c r="J24" s="9">
        <v>7</v>
      </c>
      <c r="K24" s="9" t="s">
        <v>19</v>
      </c>
      <c r="L24" s="10">
        <f t="shared" si="0"/>
        <v>4.5999999999999996</v>
      </c>
      <c r="M24" s="11" t="str">
        <f t="shared" si="1"/>
        <v>Medium</v>
      </c>
      <c r="N24">
        <f t="shared" si="2"/>
        <v>5.5</v>
      </c>
      <c r="O24">
        <f t="shared" si="3"/>
        <v>2</v>
      </c>
      <c r="R24" s="23"/>
    </row>
    <row r="25" spans="1:18" x14ac:dyDescent="0.25">
      <c r="A25" s="12" t="s">
        <v>73</v>
      </c>
      <c r="B25" s="12" t="s">
        <v>74</v>
      </c>
      <c r="C25" s="18" t="s">
        <v>30</v>
      </c>
      <c r="D25" s="12" t="s">
        <v>23</v>
      </c>
      <c r="E25" s="14">
        <v>27600000</v>
      </c>
      <c r="F25" s="12">
        <v>11</v>
      </c>
      <c r="G25" s="15">
        <v>0.95</v>
      </c>
      <c r="H25" s="15">
        <v>3.0000000000000001E-3</v>
      </c>
      <c r="I25" s="12">
        <v>2</v>
      </c>
      <c r="J25" s="12">
        <v>1</v>
      </c>
      <c r="K25" s="12" t="s">
        <v>27</v>
      </c>
      <c r="L25" s="16">
        <f t="shared" si="0"/>
        <v>1.4</v>
      </c>
      <c r="M25" s="17" t="str">
        <f t="shared" si="1"/>
        <v>Low</v>
      </c>
      <c r="N25">
        <f t="shared" si="2"/>
        <v>1.5</v>
      </c>
      <c r="O25">
        <f t="shared" si="3"/>
        <v>22</v>
      </c>
    </row>
    <row r="26" spans="1:18" x14ac:dyDescent="0.25">
      <c r="A26" s="4" t="s">
        <v>75</v>
      </c>
      <c r="B26" s="4" t="s">
        <v>76</v>
      </c>
      <c r="C26" s="5" t="s">
        <v>17</v>
      </c>
      <c r="D26" s="4" t="s">
        <v>18</v>
      </c>
      <c r="E26" s="6">
        <v>1800000</v>
      </c>
      <c r="F26" s="4">
        <v>45</v>
      </c>
      <c r="G26" s="7">
        <v>0.55000000000000004</v>
      </c>
      <c r="H26" s="7">
        <v>4.3999999999999997E-2</v>
      </c>
      <c r="I26" s="8">
        <v>5</v>
      </c>
      <c r="J26" s="9">
        <v>8</v>
      </c>
      <c r="K26" s="9" t="s">
        <v>19</v>
      </c>
      <c r="L26" s="10">
        <f t="shared" si="0"/>
        <v>5.3</v>
      </c>
      <c r="M26" s="11" t="str">
        <f t="shared" si="1"/>
        <v>Medium</v>
      </c>
      <c r="N26">
        <f t="shared" si="2"/>
        <v>6.5</v>
      </c>
      <c r="O26">
        <f t="shared" si="3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supply_chain_data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 r sahoo</dc:creator>
  <cp:lastModifiedBy>Soumya r sahoo</cp:lastModifiedBy>
  <dcterms:created xsi:type="dcterms:W3CDTF">2026-05-08T18:17:33Z</dcterms:created>
  <dcterms:modified xsi:type="dcterms:W3CDTF">2026-05-08T18:18:02Z</dcterms:modified>
</cp:coreProperties>
</file>